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3.xml" ContentType="application/vnd.openxmlformats-officedocument.drawing+xml"/>
  <Override PartName="/xl/embeddings/oleObject4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lid\Downloads\"/>
    </mc:Choice>
  </mc:AlternateContent>
  <bookViews>
    <workbookView xWindow="0" yWindow="0" windowWidth="28800" windowHeight="12330"/>
  </bookViews>
  <sheets>
    <sheet name="European_Option" sheetId="1" r:id="rId1"/>
    <sheet name="Average_Option" sheetId="2" r:id="rId2"/>
    <sheet name="Spread_Option" sheetId="3" r:id="rId3"/>
  </sheets>
  <functionGroups builtInGroupCount="18"/>
  <definedNames>
    <definedName name="Cost_and_curry">European_Option!$C$15</definedName>
    <definedName name="CostAndCurry">European_Option!$C$15</definedName>
    <definedName name="Delta">European_Option!$G$11</definedName>
    <definedName name="DisturbanceInParameter">European_Option!#REF!</definedName>
    <definedName name="Dividend">European_Option!$C$14</definedName>
    <definedName name="Dt">European_Option!$C$17</definedName>
    <definedName name="ExercisePrice">European_Option!$C$10</definedName>
    <definedName name="Gamma">European_Option!$G$12</definedName>
    <definedName name="Number_of_simulations_NbTraj">European_Option!$C$16</definedName>
    <definedName name="NumberOfSimulations">European_Option!$C$16</definedName>
    <definedName name="NumberOfSteps">European_Option!#REF!</definedName>
    <definedName name="OptionPrice">European_Option!$G$8</definedName>
    <definedName name="OptionType">European_Option!$C$8</definedName>
    <definedName name="RateOfReturn">European_Option!#REF!</definedName>
    <definedName name="Rho">European_Option!$G$16</definedName>
    <definedName name="RiskFreeRate">European_Option!$C$11</definedName>
    <definedName name="SimulationType">European_Option!#REF!</definedName>
    <definedName name="StockPrice">European_Option!$C$9</definedName>
    <definedName name="Theta">European_Option!$G$13</definedName>
    <definedName name="TimeToMaturity">European_Option!$C$13</definedName>
    <definedName name="Vega">European_Option!$G$15</definedName>
    <definedName name="Volatility">European_Option!$C$12</definedName>
  </definedNames>
  <calcPr calcId="162913"/>
</workbook>
</file>

<file path=xl/calcChain.xml><?xml version="1.0" encoding="utf-8"?>
<calcChain xmlns="http://schemas.openxmlformats.org/spreadsheetml/2006/main">
  <c r="D17" i="1" l="1"/>
  <c r="C19" i="2" l="1"/>
  <c r="G12" i="2"/>
  <c r="G10" i="2"/>
  <c r="G10" i="3"/>
</calcChain>
</file>

<file path=xl/sharedStrings.xml><?xml version="1.0" encoding="utf-8"?>
<sst xmlns="http://schemas.openxmlformats.org/spreadsheetml/2006/main" count="70" uniqueCount="45">
  <si>
    <t>(Monte Carlo Simulation)</t>
  </si>
  <si>
    <t>Exercise Type:</t>
  </si>
  <si>
    <t>Stock Price(So):</t>
  </si>
  <si>
    <t>Exercise Price(K):</t>
  </si>
  <si>
    <t>Risk-free rate(r):</t>
  </si>
  <si>
    <t>Volatility(σ):</t>
  </si>
  <si>
    <t>Time to maturity(T - Years):</t>
  </si>
  <si>
    <t>Dividend:</t>
  </si>
  <si>
    <t>Length of period (Δt = T/n):</t>
  </si>
  <si>
    <t>Input</t>
  </si>
  <si>
    <t>Call</t>
  </si>
  <si>
    <t>Output</t>
  </si>
  <si>
    <t>Black &amp; Scholes</t>
  </si>
  <si>
    <t>Option Price :</t>
  </si>
  <si>
    <t>Cost and curry:</t>
  </si>
  <si>
    <t xml:space="preserve"> Option on average Pricing</t>
  </si>
  <si>
    <t>Number of simulations(NbTraj):</t>
  </si>
  <si>
    <t>Number of steps(NbPoints):</t>
  </si>
  <si>
    <t>Option Price with Monte Carlo :</t>
  </si>
  <si>
    <t>Average Rate Option</t>
  </si>
  <si>
    <t>Average Rate Option:</t>
  </si>
  <si>
    <t>Average Strike Option</t>
  </si>
  <si>
    <t>Average Strike Option:</t>
  </si>
  <si>
    <t>Spread Option Pricing</t>
  </si>
  <si>
    <t>Spread Option:</t>
  </si>
  <si>
    <t>Spread Option</t>
  </si>
  <si>
    <t>Stock Price(S1):</t>
  </si>
  <si>
    <t>Stock Price(S2):</t>
  </si>
  <si>
    <t>Volatility(σ1):</t>
  </si>
  <si>
    <t>Volatility(σ2):</t>
  </si>
  <si>
    <t>Rho(correlation):</t>
  </si>
  <si>
    <t>Function MC_Ave_rate(TypeOption As String, S As Double, K As Double, r As Double, sigma As Double, T As Double, NbTraj As Double, NbPoints As Double)</t>
  </si>
  <si>
    <t>Volatility(sigma):</t>
  </si>
  <si>
    <t>Exercise Type(Type):</t>
  </si>
  <si>
    <t>Dividend(q):</t>
  </si>
  <si>
    <t>Cost and curry(cc):</t>
  </si>
  <si>
    <t>Binomial EU</t>
  </si>
  <si>
    <t>Binomial US</t>
  </si>
  <si>
    <t xml:space="preserve">Trinomial EU </t>
  </si>
  <si>
    <t>Trinomial US</t>
  </si>
  <si>
    <t>Barrier Down:</t>
  </si>
  <si>
    <t>Barrier Up:</t>
  </si>
  <si>
    <t>Trinomial Barrier EU</t>
  </si>
  <si>
    <t>Trinomial Barrier US</t>
  </si>
  <si>
    <r>
      <rPr>
        <b/>
        <sz val="16"/>
        <color theme="1"/>
        <rFont val="Calibri"/>
        <family val="2"/>
        <scheme val="minor"/>
      </rPr>
      <t xml:space="preserve">       </t>
    </r>
    <r>
      <rPr>
        <b/>
        <u/>
        <sz val="16"/>
        <color theme="1"/>
        <rFont val="Calibri"/>
        <family val="2"/>
        <scheme val="minor"/>
      </rPr>
      <t>European And US Option Pricing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</si>
</sst>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_ ;[Red]\-0.000\ "/>
  </numFmts>
  <fonts count="1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4"/>
      <color rgb="FF362F2D"/>
      <name val="Arial"/>
      <family val="2"/>
    </font>
    <font>
      <b/>
      <sz val="16"/>
      <color theme="5" tint="-0.24997711111789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92D05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7030A0"/>
      </left>
      <right style="thick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rgb="FF7030A0"/>
      </left>
      <right style="thick">
        <color rgb="FF7030A0"/>
      </right>
      <top style="thin">
        <color rgb="FF7030A0"/>
      </top>
      <bottom style="thick">
        <color rgb="FF7030A0"/>
      </bottom>
      <diagonal/>
    </border>
    <border>
      <left style="thick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ck">
        <color rgb="FF7030A0"/>
      </left>
      <right style="thin">
        <color rgb="FF7030A0"/>
      </right>
      <top style="thin">
        <color rgb="FF7030A0"/>
      </top>
      <bottom style="thick">
        <color rgb="FF7030A0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ck">
        <color rgb="FF7030A0"/>
      </bottom>
      <diagonal/>
    </border>
    <border>
      <left style="thick">
        <color rgb="FF7030A0"/>
      </left>
      <right style="thin">
        <color rgb="FF7030A0"/>
      </right>
      <top style="thin">
        <color rgb="FF7030A0"/>
      </top>
      <bottom/>
      <diagonal/>
    </border>
    <border>
      <left style="thin">
        <color rgb="FF7030A0"/>
      </left>
      <right style="thin">
        <color rgb="FF7030A0"/>
      </right>
      <top style="thin">
        <color rgb="FF7030A0"/>
      </top>
      <bottom/>
      <diagonal/>
    </border>
    <border>
      <left style="thin">
        <color rgb="FF7030A0"/>
      </left>
      <right style="thick">
        <color rgb="FF7030A0"/>
      </right>
      <top style="thin">
        <color rgb="FF7030A0"/>
      </top>
      <bottom/>
      <diagonal/>
    </border>
    <border>
      <left style="thick">
        <color rgb="FF7030A0"/>
      </left>
      <right/>
      <top style="thick">
        <color rgb="FF7030A0"/>
      </top>
      <bottom style="thick">
        <color rgb="FF7030A0"/>
      </bottom>
      <diagonal/>
    </border>
    <border>
      <left/>
      <right/>
      <top style="thick">
        <color rgb="FF7030A0"/>
      </top>
      <bottom style="thick">
        <color rgb="FF7030A0"/>
      </bottom>
      <diagonal/>
    </border>
    <border>
      <left/>
      <right style="thick">
        <color rgb="FF7030A0"/>
      </right>
      <top style="thick">
        <color rgb="FF7030A0"/>
      </top>
      <bottom style="thick">
        <color rgb="FF7030A0"/>
      </bottom>
      <diagonal/>
    </border>
    <border>
      <left style="medium">
        <color indexed="64"/>
      </left>
      <right/>
      <top style="medium">
        <color indexed="64"/>
      </top>
      <bottom style="thick">
        <color rgb="FF7030A0"/>
      </bottom>
      <diagonal/>
    </border>
    <border>
      <left/>
      <right/>
      <top style="medium">
        <color indexed="64"/>
      </top>
      <bottom style="thick">
        <color rgb="FF7030A0"/>
      </bottom>
      <diagonal/>
    </border>
    <border>
      <left/>
      <right style="medium">
        <color indexed="64"/>
      </right>
      <top style="medium">
        <color indexed="64"/>
      </top>
      <bottom style="thick">
        <color rgb="FF7030A0"/>
      </bottom>
      <diagonal/>
    </border>
    <border>
      <left style="medium">
        <color indexed="64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rgb="FF7030A0"/>
      </left>
      <right style="medium">
        <color indexed="64"/>
      </right>
      <top style="thin">
        <color rgb="FF7030A0"/>
      </top>
      <bottom style="thin">
        <color rgb="FF7030A0"/>
      </bottom>
      <diagonal/>
    </border>
    <border>
      <left style="medium">
        <color indexed="64"/>
      </left>
      <right style="thin">
        <color rgb="FF7030A0"/>
      </right>
      <top style="thin">
        <color rgb="FF7030A0"/>
      </top>
      <bottom style="medium">
        <color indexed="64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medium">
        <color indexed="64"/>
      </bottom>
      <diagonal/>
    </border>
    <border>
      <left style="thin">
        <color rgb="FF7030A0"/>
      </left>
      <right style="medium">
        <color indexed="64"/>
      </right>
      <top style="thin">
        <color rgb="FF7030A0"/>
      </top>
      <bottom style="medium">
        <color indexed="64"/>
      </bottom>
      <diagonal/>
    </border>
    <border>
      <left style="medium">
        <color indexed="64"/>
      </left>
      <right style="thin">
        <color rgb="FF7030A0"/>
      </right>
      <top style="thin">
        <color rgb="FF7030A0"/>
      </top>
      <bottom/>
      <diagonal/>
    </border>
  </borders>
  <cellStyleXfs count="3">
    <xf numFmtId="0" fontId="0" fillId="0" borderId="0"/>
    <xf numFmtId="0" fontId="1" fillId="0" borderId="0"/>
    <xf numFmtId="9" fontId="2" fillId="0" borderId="0" applyFont="0" applyFill="0" applyBorder="0" applyAlignment="0" applyProtection="0"/>
  </cellStyleXfs>
  <cellXfs count="63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  <xf numFmtId="0" fontId="0" fillId="2" borderId="0" xfId="0" applyFill="1" applyBorder="1"/>
    <xf numFmtId="0" fontId="0" fillId="2" borderId="3" xfId="0" applyFill="1" applyBorder="1"/>
    <xf numFmtId="0" fontId="0" fillId="2" borderId="4" xfId="0" applyFill="1" applyBorder="1"/>
    <xf numFmtId="0" fontId="0" fillId="3" borderId="9" xfId="0" applyFill="1" applyBorder="1"/>
    <xf numFmtId="0" fontId="0" fillId="3" borderId="10" xfId="0" applyFill="1" applyBorder="1"/>
    <xf numFmtId="0" fontId="3" fillId="4" borderId="11" xfId="0" applyFont="1" applyFill="1" applyBorder="1" applyAlignment="1">
      <alignment horizontal="right"/>
    </xf>
    <xf numFmtId="0" fontId="3" fillId="4" borderId="12" xfId="0" applyFont="1" applyFill="1" applyBorder="1" applyAlignment="1">
      <alignment horizontal="right"/>
    </xf>
    <xf numFmtId="0" fontId="0" fillId="3" borderId="13" xfId="0" applyFill="1" applyBorder="1" applyAlignment="1">
      <alignment horizontal="center"/>
    </xf>
    <xf numFmtId="0" fontId="4" fillId="2" borderId="5" xfId="0" applyFont="1" applyFill="1" applyBorder="1" applyAlignment="1">
      <alignment horizontal="centerContinuous"/>
    </xf>
    <xf numFmtId="0" fontId="0" fillId="2" borderId="6" xfId="0" applyFill="1" applyBorder="1" applyAlignment="1">
      <alignment horizontal="centerContinuous"/>
    </xf>
    <xf numFmtId="0" fontId="5" fillId="2" borderId="5" xfId="0" applyFont="1" applyFill="1" applyBorder="1" applyAlignment="1">
      <alignment horizontal="centerContinuous"/>
    </xf>
    <xf numFmtId="0" fontId="0" fillId="2" borderId="7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0" xfId="0" applyFill="1" applyAlignment="1">
      <alignment horizontal="center"/>
    </xf>
    <xf numFmtId="9" fontId="2" fillId="3" borderId="13" xfId="2" applyFont="1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5" borderId="9" xfId="0" applyFill="1" applyBorder="1"/>
    <xf numFmtId="0" fontId="0" fillId="5" borderId="10" xfId="0" applyFill="1" applyBorder="1"/>
    <xf numFmtId="0" fontId="0" fillId="5" borderId="13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right"/>
    </xf>
    <xf numFmtId="0" fontId="3" fillId="6" borderId="12" xfId="0" applyFont="1" applyFill="1" applyBorder="1" applyAlignment="1">
      <alignment horizontal="right"/>
    </xf>
    <xf numFmtId="164" fontId="2" fillId="5" borderId="13" xfId="2" applyNumberFormat="1" applyFont="1" applyFill="1" applyBorder="1" applyAlignment="1">
      <alignment horizontal="center"/>
    </xf>
    <xf numFmtId="164" fontId="0" fillId="5" borderId="13" xfId="0" applyNumberFormat="1" applyFont="1" applyFill="1" applyBorder="1" applyAlignment="1">
      <alignment horizontal="center"/>
    </xf>
    <xf numFmtId="164" fontId="0" fillId="5" borderId="14" xfId="0" applyNumberFormat="1" applyFont="1" applyFill="1" applyBorder="1" applyAlignment="1">
      <alignment horizontal="center"/>
    </xf>
    <xf numFmtId="0" fontId="6" fillId="6" borderId="11" xfId="0" applyFont="1" applyFill="1" applyBorder="1" applyAlignment="1">
      <alignment horizontal="right"/>
    </xf>
    <xf numFmtId="0" fontId="3" fillId="6" borderId="15" xfId="0" applyFont="1" applyFill="1" applyBorder="1" applyAlignment="1">
      <alignment horizontal="right"/>
    </xf>
    <xf numFmtId="164" fontId="0" fillId="5" borderId="16" xfId="0" applyNumberFormat="1" applyFont="1" applyFill="1" applyBorder="1" applyAlignment="1">
      <alignment horizontal="center"/>
    </xf>
    <xf numFmtId="0" fontId="0" fillId="5" borderId="17" xfId="0" applyFill="1" applyBorder="1"/>
    <xf numFmtId="0" fontId="0" fillId="2" borderId="6" xfId="0" applyFill="1" applyBorder="1" applyAlignment="1">
      <alignment horizontal="center"/>
    </xf>
    <xf numFmtId="0" fontId="0" fillId="2" borderId="5" xfId="0" applyFill="1" applyBorder="1"/>
    <xf numFmtId="0" fontId="7" fillId="2" borderId="5" xfId="0" applyFont="1" applyFill="1" applyBorder="1"/>
    <xf numFmtId="0" fontId="7" fillId="2" borderId="6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right"/>
    </xf>
    <xf numFmtId="0" fontId="5" fillId="2" borderId="5" xfId="0" applyFont="1" applyFill="1" applyBorder="1" applyAlignment="1">
      <alignment horizontal="right"/>
    </xf>
    <xf numFmtId="0" fontId="8" fillId="4" borderId="11" xfId="0" applyFont="1" applyFill="1" applyBorder="1" applyAlignment="1">
      <alignment horizontal="right"/>
    </xf>
    <xf numFmtId="0" fontId="9" fillId="3" borderId="13" xfId="2" applyNumberFormat="1" applyFont="1" applyFill="1" applyBorder="1" applyAlignment="1">
      <alignment horizontal="center"/>
    </xf>
    <xf numFmtId="0" fontId="10" fillId="0" borderId="0" xfId="0" applyFont="1" applyAlignment="1">
      <alignment vertical="center"/>
    </xf>
    <xf numFmtId="0" fontId="11" fillId="0" borderId="0" xfId="0" applyFont="1"/>
    <xf numFmtId="0" fontId="3" fillId="4" borderId="24" xfId="0" applyFont="1" applyFill="1" applyBorder="1" applyAlignment="1">
      <alignment horizontal="right"/>
    </xf>
    <xf numFmtId="0" fontId="0" fillId="3" borderId="25" xfId="0" applyFill="1" applyBorder="1" applyAlignment="1">
      <alignment horizontal="center" vertical="center"/>
    </xf>
    <xf numFmtId="0" fontId="8" fillId="4" borderId="24" xfId="0" applyFont="1" applyFill="1" applyBorder="1" applyAlignment="1">
      <alignment horizontal="right"/>
    </xf>
    <xf numFmtId="0" fontId="8" fillId="4" borderId="26" xfId="0" applyFont="1" applyFill="1" applyBorder="1" applyAlignment="1">
      <alignment horizontal="right"/>
    </xf>
    <xf numFmtId="0" fontId="9" fillId="3" borderId="27" xfId="2" applyNumberFormat="1" applyFont="1" applyFill="1" applyBorder="1" applyAlignment="1">
      <alignment horizontal="center"/>
    </xf>
    <xf numFmtId="0" fontId="0" fillId="3" borderId="28" xfId="0" applyFill="1" applyBorder="1" applyAlignment="1">
      <alignment horizontal="center" vertical="center"/>
    </xf>
    <xf numFmtId="0" fontId="12" fillId="7" borderId="21" xfId="0" applyFont="1" applyFill="1" applyBorder="1" applyAlignment="1">
      <alignment horizontal="center" vertical="center"/>
    </xf>
    <xf numFmtId="0" fontId="12" fillId="7" borderId="22" xfId="0" applyFont="1" applyFill="1" applyBorder="1" applyAlignment="1">
      <alignment horizontal="center" vertical="center"/>
    </xf>
    <xf numFmtId="0" fontId="12" fillId="7" borderId="23" xfId="0" applyFont="1" applyFill="1" applyBorder="1" applyAlignment="1">
      <alignment horizontal="center" vertical="center"/>
    </xf>
    <xf numFmtId="0" fontId="12" fillId="7" borderId="18" xfId="0" applyFont="1" applyFill="1" applyBorder="1" applyAlignment="1">
      <alignment horizontal="center" vertical="center"/>
    </xf>
    <xf numFmtId="0" fontId="12" fillId="7" borderId="19" xfId="0" applyFont="1" applyFill="1" applyBorder="1" applyAlignment="1">
      <alignment horizontal="center" vertical="center"/>
    </xf>
    <xf numFmtId="0" fontId="12" fillId="7" borderId="20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right"/>
    </xf>
    <xf numFmtId="0" fontId="0" fillId="5" borderId="25" xfId="0" applyFill="1" applyBorder="1"/>
    <xf numFmtId="0" fontId="3" fillId="6" borderId="24" xfId="0" applyFont="1" applyFill="1" applyBorder="1" applyAlignment="1">
      <alignment horizontal="right"/>
    </xf>
    <xf numFmtId="0" fontId="3" fillId="6" borderId="29" xfId="0" applyFont="1" applyFill="1" applyBorder="1" applyAlignment="1">
      <alignment horizontal="right"/>
    </xf>
    <xf numFmtId="0" fontId="3" fillId="6" borderId="26" xfId="0" applyFont="1" applyFill="1" applyBorder="1" applyAlignment="1">
      <alignment horizontal="right"/>
    </xf>
    <xf numFmtId="164" fontId="0" fillId="5" borderId="27" xfId="0" applyNumberFormat="1" applyFont="1" applyFill="1" applyBorder="1" applyAlignment="1">
      <alignment horizontal="center"/>
    </xf>
    <xf numFmtId="0" fontId="0" fillId="5" borderId="28" xfId="0" applyFill="1" applyBorder="1"/>
    <xf numFmtId="164" fontId="0" fillId="5" borderId="13" xfId="2" applyNumberFormat="1" applyFont="1" applyFill="1" applyBorder="1" applyAlignment="1">
      <alignment horizontal="center"/>
    </xf>
  </cellXfs>
  <cellStyles count="3">
    <cellStyle name="Normal" xfId="0" builtinId="0"/>
    <cellStyle name="Normal 2" xfId="1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590550</xdr:colOff>
          <xdr:row>2</xdr:row>
          <xdr:rowOff>142875</xdr:rowOff>
        </xdr:from>
        <xdr:to>
          <xdr:col>3</xdr:col>
          <xdr:colOff>400050</xdr:colOff>
          <xdr:row>3</xdr:row>
          <xdr:rowOff>171450</xdr:rowOff>
        </xdr:to>
        <xdr:sp macro="" textlink="">
          <xdr:nvSpPr>
            <xdr:cNvPr id="1026" name="cmdRunMC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9</xdr:row>
          <xdr:rowOff>104775</xdr:rowOff>
        </xdr:from>
        <xdr:to>
          <xdr:col>15</xdr:col>
          <xdr:colOff>542925</xdr:colOff>
          <xdr:row>11</xdr:row>
          <xdr:rowOff>85725</xdr:rowOff>
        </xdr:to>
        <xdr:sp macro="" textlink="">
          <xdr:nvSpPr>
            <xdr:cNvPr id="1027" name="Objet 2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</xdr:colOff>
          <xdr:row>8</xdr:row>
          <xdr:rowOff>190500</xdr:rowOff>
        </xdr:from>
        <xdr:to>
          <xdr:col>13</xdr:col>
          <xdr:colOff>228600</xdr:colOff>
          <xdr:row>11</xdr:row>
          <xdr:rowOff>9525</xdr:rowOff>
        </xdr:to>
        <xdr:sp macro="" textlink="">
          <xdr:nvSpPr>
            <xdr:cNvPr id="2050" name="Objet 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13</xdr:row>
          <xdr:rowOff>28575</xdr:rowOff>
        </xdr:from>
        <xdr:to>
          <xdr:col>13</xdr:col>
          <xdr:colOff>581025</xdr:colOff>
          <xdr:row>15</xdr:row>
          <xdr:rowOff>66675</xdr:rowOff>
        </xdr:to>
        <xdr:sp macro="" textlink="">
          <xdr:nvSpPr>
            <xdr:cNvPr id="2052" name="Objet 2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714375</xdr:colOff>
          <xdr:row>10</xdr:row>
          <xdr:rowOff>28575</xdr:rowOff>
        </xdr:from>
        <xdr:to>
          <xdr:col>14</xdr:col>
          <xdr:colOff>152400</xdr:colOff>
          <xdr:row>12</xdr:row>
          <xdr:rowOff>9525</xdr:rowOff>
        </xdr:to>
        <xdr:sp macro="" textlink="">
          <xdr:nvSpPr>
            <xdr:cNvPr id="3082" name="Objet 2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1.xml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3.bin"/><Relationship Id="rId5" Type="http://schemas.openxmlformats.org/officeDocument/2006/relationships/image" Target="../media/image3.emf"/><Relationship Id="rId4" Type="http://schemas.openxmlformats.org/officeDocument/2006/relationships/oleObject" Target="../embeddings/oleObject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esults"/>
  <dimension ref="B2:M27"/>
  <sheetViews>
    <sheetView tabSelected="1" workbookViewId="0">
      <selection activeCell="B4" sqref="B4"/>
    </sheetView>
  </sheetViews>
  <sheetFormatPr defaultColWidth="9.140625" defaultRowHeight="15" x14ac:dyDescent="0.25"/>
  <cols>
    <col min="1" max="1" width="9.140625" style="1"/>
    <col min="2" max="2" width="35.42578125" style="1" customWidth="1"/>
    <col min="3" max="3" width="10.85546875" style="18" customWidth="1"/>
    <col min="4" max="4" width="22.7109375" style="1" customWidth="1"/>
    <col min="5" max="5" width="9.140625" style="1"/>
    <col min="6" max="6" width="35.42578125" style="1" customWidth="1"/>
    <col min="7" max="7" width="10.85546875" style="1" customWidth="1"/>
    <col min="8" max="16384" width="9.140625" style="1"/>
  </cols>
  <sheetData>
    <row r="2" spans="2:13" x14ac:dyDescent="0.25">
      <c r="B2" s="2"/>
      <c r="C2" s="15"/>
      <c r="D2" s="3"/>
      <c r="E2" s="4"/>
      <c r="F2" s="4"/>
      <c r="G2" s="4"/>
    </row>
    <row r="3" spans="2:13" ht="21" x14ac:dyDescent="0.35">
      <c r="B3" s="12" t="s">
        <v>44</v>
      </c>
      <c r="C3" s="16"/>
      <c r="D3" s="13"/>
      <c r="E3" s="4"/>
      <c r="F3" s="4"/>
      <c r="G3" s="4"/>
    </row>
    <row r="4" spans="2:13" ht="21" x14ac:dyDescent="0.35">
      <c r="B4" s="14"/>
      <c r="C4" s="16"/>
      <c r="D4" s="13"/>
      <c r="E4" s="4"/>
      <c r="F4" s="4"/>
      <c r="G4" s="4"/>
    </row>
    <row r="5" spans="2:13" x14ac:dyDescent="0.25">
      <c r="B5" s="5"/>
      <c r="C5" s="17"/>
      <c r="D5" s="6"/>
      <c r="E5" s="4"/>
      <c r="F5" s="4"/>
      <c r="G5" s="4"/>
    </row>
    <row r="6" spans="2:13" ht="15.75" thickBot="1" x14ac:dyDescent="0.3"/>
    <row r="7" spans="2:13" ht="19.5" thickBot="1" x14ac:dyDescent="0.3">
      <c r="B7" s="49" t="s">
        <v>9</v>
      </c>
      <c r="C7" s="50"/>
      <c r="D7" s="51"/>
      <c r="F7" s="49" t="s">
        <v>11</v>
      </c>
      <c r="G7" s="50"/>
      <c r="H7" s="51"/>
    </row>
    <row r="8" spans="2:13" ht="16.5" customHeight="1" thickTop="1" x14ac:dyDescent="0.25">
      <c r="B8" s="43" t="s">
        <v>33</v>
      </c>
      <c r="C8" s="11" t="s">
        <v>10</v>
      </c>
      <c r="D8" s="44" t="s">
        <v>10</v>
      </c>
      <c r="F8" s="55" t="s">
        <v>13</v>
      </c>
      <c r="G8" s="23"/>
      <c r="H8" s="56"/>
      <c r="K8"/>
      <c r="L8"/>
      <c r="M8"/>
    </row>
    <row r="9" spans="2:13" ht="16.5" customHeight="1" x14ac:dyDescent="0.35">
      <c r="B9" s="43" t="s">
        <v>2</v>
      </c>
      <c r="C9" s="11">
        <v>100</v>
      </c>
      <c r="D9" s="44">
        <v>100</v>
      </c>
      <c r="F9" s="57" t="s">
        <v>12</v>
      </c>
      <c r="G9" s="23">
        <v>4.4665791494349563</v>
      </c>
      <c r="H9" s="56"/>
      <c r="K9" s="42" t="s">
        <v>24</v>
      </c>
      <c r="L9"/>
      <c r="M9"/>
    </row>
    <row r="10" spans="2:13" x14ac:dyDescent="0.25">
      <c r="B10" s="43" t="s">
        <v>3</v>
      </c>
      <c r="C10" s="11">
        <v>115</v>
      </c>
      <c r="D10" s="44">
        <v>115</v>
      </c>
      <c r="F10" s="57" t="s">
        <v>36</v>
      </c>
      <c r="G10" s="23">
        <v>4.4788927546703308</v>
      </c>
      <c r="H10" s="56"/>
      <c r="K10"/>
      <c r="L10"/>
      <c r="M10"/>
    </row>
    <row r="11" spans="2:13" x14ac:dyDescent="0.25">
      <c r="B11" s="43" t="s">
        <v>4</v>
      </c>
      <c r="C11" s="19">
        <v>0.05</v>
      </c>
      <c r="D11" s="44">
        <v>0.05</v>
      </c>
      <c r="F11" s="58" t="s">
        <v>37</v>
      </c>
      <c r="G11" s="26">
        <v>4.4788927546703308</v>
      </c>
      <c r="H11" s="56"/>
      <c r="K11"/>
      <c r="L11"/>
      <c r="M11"/>
    </row>
    <row r="12" spans="2:13" x14ac:dyDescent="0.25">
      <c r="B12" s="43" t="s">
        <v>32</v>
      </c>
      <c r="C12" s="19">
        <v>0.2</v>
      </c>
      <c r="D12" s="44">
        <v>0.2</v>
      </c>
      <c r="F12" s="58" t="s">
        <v>38</v>
      </c>
      <c r="G12" s="26">
        <v>4.4581729386488744</v>
      </c>
      <c r="H12" s="56"/>
      <c r="K12"/>
      <c r="L12"/>
      <c r="M12"/>
    </row>
    <row r="13" spans="2:13" x14ac:dyDescent="0.25">
      <c r="B13" s="43" t="s">
        <v>6</v>
      </c>
      <c r="C13" s="11">
        <v>1</v>
      </c>
      <c r="D13" s="44">
        <v>1</v>
      </c>
      <c r="F13" s="58" t="s">
        <v>39</v>
      </c>
      <c r="G13" s="26">
        <v>4.4581729386488744</v>
      </c>
      <c r="H13" s="56"/>
      <c r="K13"/>
      <c r="L13"/>
      <c r="M13"/>
    </row>
    <row r="14" spans="2:13" ht="21" x14ac:dyDescent="0.35">
      <c r="B14" s="43" t="s">
        <v>34</v>
      </c>
      <c r="C14" s="19">
        <v>0</v>
      </c>
      <c r="D14" s="44">
        <v>0</v>
      </c>
      <c r="F14" s="58" t="s">
        <v>42</v>
      </c>
      <c r="G14" s="26">
        <v>4.4187527957648127</v>
      </c>
      <c r="H14" s="56"/>
      <c r="K14" s="42"/>
      <c r="L14"/>
      <c r="M14"/>
    </row>
    <row r="15" spans="2:13" ht="15.75" thickBot="1" x14ac:dyDescent="0.3">
      <c r="B15" s="43" t="s">
        <v>35</v>
      </c>
      <c r="C15" s="19">
        <v>0.05</v>
      </c>
      <c r="D15" s="44">
        <v>0.05</v>
      </c>
      <c r="F15" s="59" t="s">
        <v>43</v>
      </c>
      <c r="G15" s="60">
        <v>4.4581361203550625</v>
      </c>
      <c r="H15" s="61"/>
    </row>
    <row r="16" spans="2:13" x14ac:dyDescent="0.25">
      <c r="B16" s="43" t="s">
        <v>16</v>
      </c>
      <c r="C16" s="11">
        <v>500</v>
      </c>
      <c r="D16" s="44">
        <v>500</v>
      </c>
    </row>
    <row r="17" spans="2:4" x14ac:dyDescent="0.25">
      <c r="B17" s="43" t="s">
        <v>8</v>
      </c>
      <c r="C17" s="11">
        <v>0.01</v>
      </c>
      <c r="D17" s="44">
        <f>D13/D19</f>
        <v>0.01</v>
      </c>
    </row>
    <row r="18" spans="2:4" x14ac:dyDescent="0.25">
      <c r="B18" s="45" t="s">
        <v>30</v>
      </c>
      <c r="C18" s="40">
        <v>0.5</v>
      </c>
      <c r="D18" s="44"/>
    </row>
    <row r="19" spans="2:4" ht="15.75" thickBot="1" x14ac:dyDescent="0.3">
      <c r="B19" s="46" t="s">
        <v>17</v>
      </c>
      <c r="C19" s="47">
        <v>100</v>
      </c>
      <c r="D19" s="48">
        <v>100</v>
      </c>
    </row>
    <row r="20" spans="2:4" ht="15.75" thickBot="1" x14ac:dyDescent="0.3">
      <c r="B20" s="46" t="s">
        <v>41</v>
      </c>
      <c r="C20" s="47"/>
      <c r="D20" s="48">
        <v>200</v>
      </c>
    </row>
    <row r="21" spans="2:4" ht="15.75" thickBot="1" x14ac:dyDescent="0.3">
      <c r="B21" s="46" t="s">
        <v>40</v>
      </c>
      <c r="C21" s="47"/>
      <c r="D21" s="48">
        <v>60</v>
      </c>
    </row>
    <row r="22" spans="2:4" x14ac:dyDescent="0.25">
      <c r="C22" s="1"/>
    </row>
    <row r="23" spans="2:4" x14ac:dyDescent="0.25">
      <c r="C23" s="1"/>
    </row>
    <row r="24" spans="2:4" x14ac:dyDescent="0.25">
      <c r="C24" s="1"/>
    </row>
    <row r="25" spans="2:4" x14ac:dyDescent="0.25">
      <c r="C25" s="1"/>
    </row>
    <row r="26" spans="2:4" x14ac:dyDescent="0.25">
      <c r="C26" s="1"/>
    </row>
    <row r="27" spans="2:4" x14ac:dyDescent="0.25">
      <c r="C27" s="1"/>
    </row>
  </sheetData>
  <dataConsolidate/>
  <mergeCells count="2">
    <mergeCell ref="B7:D7"/>
    <mergeCell ref="F7:H7"/>
  </mergeCells>
  <dataValidations disablePrompts="1" count="1">
    <dataValidation type="list" allowBlank="1" showInputMessage="1" showErrorMessage="1" sqref="C8">
      <formula1>"Call,Put"</formula1>
    </dataValidation>
  </dataValidation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Equation.3" shapeId="1027" r:id="rId4">
          <objectPr defaultSize="0" autoPict="0" r:id="rId5">
            <anchor moveWithCells="1" sizeWithCells="1">
              <from>
                <xdr:col>9</xdr:col>
                <xdr:colOff>333375</xdr:colOff>
                <xdr:row>9</xdr:row>
                <xdr:rowOff>104775</xdr:rowOff>
              </from>
              <to>
                <xdr:col>15</xdr:col>
                <xdr:colOff>542925</xdr:colOff>
                <xdr:row>11</xdr:row>
                <xdr:rowOff>85725</xdr:rowOff>
              </to>
            </anchor>
          </objectPr>
        </oleObject>
      </mc:Choice>
      <mc:Fallback>
        <oleObject progId="Equation.3" shapeId="1027" r:id="rId4"/>
      </mc:Fallback>
    </mc:AlternateContent>
  </oleObjects>
  <controls>
    <mc:AlternateContent xmlns:mc="http://schemas.openxmlformats.org/markup-compatibility/2006">
      <mc:Choice Requires="x14">
        <control shapeId="1026" r:id="rId6" name="cmdRunMC">
          <controlPr defaultSize="0" autoLine="0" r:id="rId7">
            <anchor moveWithCells="1">
              <from>
                <xdr:col>2</xdr:col>
                <xdr:colOff>590550</xdr:colOff>
                <xdr:row>2</xdr:row>
                <xdr:rowOff>142875</xdr:rowOff>
              </from>
              <to>
                <xdr:col>3</xdr:col>
                <xdr:colOff>400050</xdr:colOff>
                <xdr:row>3</xdr:row>
                <xdr:rowOff>171450</xdr:rowOff>
              </to>
            </anchor>
          </controlPr>
        </control>
      </mc:Choice>
      <mc:Fallback>
        <control shapeId="1026" r:id="rId6" name="cmdRunMC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2:J21"/>
  <sheetViews>
    <sheetView showGridLines="0" zoomScaleNormal="100" workbookViewId="0">
      <selection activeCell="G12" sqref="G12"/>
    </sheetView>
  </sheetViews>
  <sheetFormatPr defaultColWidth="11.42578125" defaultRowHeight="15" x14ac:dyDescent="0.25"/>
  <cols>
    <col min="2" max="2" width="33" customWidth="1"/>
    <col min="6" max="6" width="33" customWidth="1"/>
    <col min="10" max="10" width="11.5703125" customWidth="1"/>
  </cols>
  <sheetData>
    <row r="2" spans="1:10" x14ac:dyDescent="0.25">
      <c r="A2" s="1"/>
      <c r="B2" s="1"/>
      <c r="C2" s="18"/>
      <c r="D2" s="1"/>
      <c r="E2" s="1"/>
      <c r="F2" s="1"/>
      <c r="G2" s="1"/>
      <c r="H2" s="1"/>
    </row>
    <row r="3" spans="1:10" x14ac:dyDescent="0.25">
      <c r="A3" s="1"/>
      <c r="B3" s="2"/>
      <c r="C3" s="15"/>
      <c r="D3" s="3"/>
      <c r="E3" s="4"/>
      <c r="F3" s="4"/>
      <c r="G3" s="4"/>
      <c r="H3" s="1"/>
    </row>
    <row r="4" spans="1:10" ht="21" x14ac:dyDescent="0.35">
      <c r="B4" s="35"/>
      <c r="C4" s="37" t="s">
        <v>15</v>
      </c>
      <c r="D4" s="36"/>
      <c r="E4" s="4"/>
      <c r="F4" s="4"/>
      <c r="G4" s="4"/>
      <c r="H4" s="1"/>
    </row>
    <row r="5" spans="1:10" ht="21" x14ac:dyDescent="0.35">
      <c r="B5" s="34"/>
      <c r="C5" s="38" t="s">
        <v>0</v>
      </c>
      <c r="D5" s="33"/>
      <c r="E5" s="4" t="s">
        <v>31</v>
      </c>
      <c r="F5" s="4"/>
      <c r="G5" s="4"/>
      <c r="H5" s="1"/>
    </row>
    <row r="6" spans="1:10" x14ac:dyDescent="0.25">
      <c r="A6" s="1"/>
      <c r="B6" s="5"/>
      <c r="C6" s="17"/>
      <c r="D6" s="6"/>
      <c r="E6" s="4"/>
      <c r="F6" s="4"/>
      <c r="G6" s="4"/>
      <c r="H6" s="1"/>
    </row>
    <row r="7" spans="1:10" ht="15.75" thickBot="1" x14ac:dyDescent="0.3">
      <c r="A7" s="1"/>
      <c r="B7" s="1"/>
      <c r="C7" s="18"/>
      <c r="D7" s="1"/>
      <c r="E7" s="1"/>
      <c r="F7" s="1"/>
      <c r="G7" s="1"/>
      <c r="H7" s="1"/>
    </row>
    <row r="8" spans="1:10" ht="20.25" thickTop="1" thickBot="1" x14ac:dyDescent="0.3">
      <c r="A8" s="1"/>
      <c r="B8" s="52" t="s">
        <v>9</v>
      </c>
      <c r="C8" s="53"/>
      <c r="D8" s="54"/>
      <c r="E8" s="1"/>
      <c r="F8" s="52" t="s">
        <v>11</v>
      </c>
      <c r="G8" s="53"/>
      <c r="H8" s="54"/>
      <c r="I8" s="41"/>
    </row>
    <row r="9" spans="1:10" ht="21.75" thickTop="1" x14ac:dyDescent="0.35">
      <c r="A9" s="1"/>
      <c r="B9" s="9" t="s">
        <v>1</v>
      </c>
      <c r="C9" s="11" t="s">
        <v>10</v>
      </c>
      <c r="D9" s="7"/>
      <c r="E9" s="1"/>
      <c r="F9" s="29" t="s">
        <v>18</v>
      </c>
      <c r="G9" s="23"/>
      <c r="H9" s="21"/>
      <c r="J9" s="42" t="s">
        <v>20</v>
      </c>
    </row>
    <row r="10" spans="1:10" x14ac:dyDescent="0.25">
      <c r="A10" s="1"/>
      <c r="B10" s="9" t="s">
        <v>2</v>
      </c>
      <c r="C10" s="11">
        <v>100</v>
      </c>
      <c r="D10" s="7"/>
      <c r="E10" s="1"/>
      <c r="F10" s="24" t="s">
        <v>19</v>
      </c>
      <c r="G10" s="23">
        <f>MC_Ave_rate(C9,C10,C11,C12,C13,C14,C18,C17)</f>
        <v>0.78797710405521304</v>
      </c>
      <c r="H10" s="21"/>
    </row>
    <row r="11" spans="1:10" x14ac:dyDescent="0.25">
      <c r="A11" s="1"/>
      <c r="B11" s="9" t="s">
        <v>3</v>
      </c>
      <c r="C11" s="11">
        <v>115</v>
      </c>
      <c r="D11" s="7"/>
      <c r="E11" s="1"/>
      <c r="F11" s="24"/>
      <c r="G11" s="23"/>
      <c r="H11" s="21"/>
    </row>
    <row r="12" spans="1:10" x14ac:dyDescent="0.25">
      <c r="A12" s="1"/>
      <c r="B12" s="9" t="s">
        <v>4</v>
      </c>
      <c r="C12" s="19">
        <v>0.05</v>
      </c>
      <c r="D12" s="7"/>
      <c r="E12" s="1"/>
      <c r="F12" s="24" t="s">
        <v>21</v>
      </c>
      <c r="G12" s="62">
        <f xml:space="preserve"> MC_Ave_strike(C9,C10,C11,C12,C13,C14,C18,C17)</f>
        <v>3.037285278295045</v>
      </c>
      <c r="H12" s="21"/>
    </row>
    <row r="13" spans="1:10" ht="21" x14ac:dyDescent="0.35">
      <c r="A13" s="1"/>
      <c r="B13" s="9" t="s">
        <v>5</v>
      </c>
      <c r="C13" s="19">
        <v>0.2</v>
      </c>
      <c r="D13" s="7">
        <v>6.7808219178082192</v>
      </c>
      <c r="E13" s="1"/>
      <c r="F13" s="24"/>
      <c r="G13" s="26"/>
      <c r="H13" s="21"/>
      <c r="J13" s="42" t="s">
        <v>22</v>
      </c>
    </row>
    <row r="14" spans="1:10" x14ac:dyDescent="0.25">
      <c r="A14" s="1"/>
      <c r="B14" s="9" t="s">
        <v>6</v>
      </c>
      <c r="C14" s="11">
        <v>1</v>
      </c>
      <c r="D14" s="7"/>
      <c r="E14" s="1"/>
      <c r="F14" s="24"/>
      <c r="G14" s="26"/>
      <c r="H14" s="21"/>
    </row>
    <row r="15" spans="1:10" x14ac:dyDescent="0.25">
      <c r="A15" s="1"/>
      <c r="B15" s="9" t="s">
        <v>7</v>
      </c>
      <c r="C15" s="19">
        <v>0</v>
      </c>
      <c r="D15" s="7">
        <v>0</v>
      </c>
      <c r="E15" s="1"/>
      <c r="F15" s="24"/>
      <c r="G15" s="27"/>
      <c r="H15" s="21"/>
    </row>
    <row r="16" spans="1:10" x14ac:dyDescent="0.25">
      <c r="A16" s="1"/>
      <c r="B16" s="9" t="s">
        <v>14</v>
      </c>
      <c r="C16" s="19">
        <v>0.05</v>
      </c>
      <c r="D16" s="7"/>
      <c r="E16" s="1"/>
      <c r="F16" s="30"/>
      <c r="G16" s="31"/>
      <c r="H16" s="32"/>
    </row>
    <row r="17" spans="1:8" x14ac:dyDescent="0.25">
      <c r="A17" s="1"/>
      <c r="B17" s="39" t="s">
        <v>17</v>
      </c>
      <c r="C17" s="40">
        <v>100</v>
      </c>
      <c r="D17" s="7"/>
      <c r="E17" s="1"/>
      <c r="F17" s="30"/>
      <c r="G17" s="31"/>
      <c r="H17" s="32"/>
    </row>
    <row r="18" spans="1:8" ht="15.75" thickBot="1" x14ac:dyDescent="0.3">
      <c r="A18" s="1"/>
      <c r="B18" s="9" t="s">
        <v>16</v>
      </c>
      <c r="C18" s="11">
        <v>500</v>
      </c>
      <c r="D18" s="7"/>
      <c r="E18" s="1"/>
      <c r="F18" s="25"/>
      <c r="G18" s="28"/>
      <c r="H18" s="22"/>
    </row>
    <row r="19" spans="1:8" ht="15.75" thickTop="1" x14ac:dyDescent="0.25">
      <c r="A19" s="1"/>
      <c r="B19" s="9" t="s">
        <v>8</v>
      </c>
      <c r="C19" s="11">
        <f>C14/C17</f>
        <v>0.01</v>
      </c>
      <c r="D19" s="7"/>
      <c r="E19" s="1"/>
      <c r="F19" s="1"/>
      <c r="G19" s="1"/>
      <c r="H19" s="1"/>
    </row>
    <row r="20" spans="1:8" ht="15.75" thickBot="1" x14ac:dyDescent="0.3">
      <c r="A20" s="1"/>
      <c r="B20" s="10"/>
      <c r="C20" s="20"/>
      <c r="D20" s="8"/>
      <c r="E20" s="1"/>
      <c r="F20" s="1"/>
      <c r="G20" s="1"/>
      <c r="H20" s="1"/>
    </row>
    <row r="21" spans="1:8" ht="15.75" thickTop="1" x14ac:dyDescent="0.25">
      <c r="A21" s="1"/>
      <c r="B21" s="1"/>
      <c r="C21" s="18"/>
      <c r="D21" s="1"/>
      <c r="E21" s="1"/>
      <c r="F21" s="1"/>
      <c r="G21" s="1"/>
      <c r="H21" s="1"/>
    </row>
  </sheetData>
  <mergeCells count="2">
    <mergeCell ref="B8:D8"/>
    <mergeCell ref="F8:H8"/>
  </mergeCells>
  <dataValidations disablePrompts="1" count="1">
    <dataValidation type="list" allowBlank="1" showInputMessage="1" showErrorMessage="1" sqref="C9">
      <formula1>"Call,Put"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Equation.3" shapeId="2050" r:id="rId4">
          <objectPr defaultSize="0" autoPict="0" r:id="rId5">
            <anchor moveWithCells="1" sizeWithCells="1">
              <from>
                <xdr:col>9</xdr:col>
                <xdr:colOff>38100</xdr:colOff>
                <xdr:row>8</xdr:row>
                <xdr:rowOff>190500</xdr:rowOff>
              </from>
              <to>
                <xdr:col>13</xdr:col>
                <xdr:colOff>228600</xdr:colOff>
                <xdr:row>11</xdr:row>
                <xdr:rowOff>9525</xdr:rowOff>
              </to>
            </anchor>
          </objectPr>
        </oleObject>
      </mc:Choice>
      <mc:Fallback>
        <oleObject progId="Equation.3" shapeId="2050" r:id="rId4"/>
      </mc:Fallback>
    </mc:AlternateContent>
    <mc:AlternateContent xmlns:mc="http://schemas.openxmlformats.org/markup-compatibility/2006">
      <mc:Choice Requires="x14">
        <oleObject progId="Equation.3" shapeId="2052" r:id="rId6">
          <objectPr defaultSize="0" autoPict="0" r:id="rId7">
            <anchor moveWithCells="1" sizeWithCells="1">
              <from>
                <xdr:col>9</xdr:col>
                <xdr:colOff>57150</xdr:colOff>
                <xdr:row>13</xdr:row>
                <xdr:rowOff>28575</xdr:rowOff>
              </from>
              <to>
                <xdr:col>13</xdr:col>
                <xdr:colOff>581025</xdr:colOff>
                <xdr:row>15</xdr:row>
                <xdr:rowOff>66675</xdr:rowOff>
              </to>
            </anchor>
          </objectPr>
        </oleObject>
      </mc:Choice>
      <mc:Fallback>
        <oleObject progId="Equation.3" shapeId="2052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2:J22"/>
  <sheetViews>
    <sheetView topLeftCell="B1" workbookViewId="0">
      <selection activeCell="G10" sqref="G10"/>
    </sheetView>
  </sheetViews>
  <sheetFormatPr defaultColWidth="11.42578125" defaultRowHeight="15" x14ac:dyDescent="0.25"/>
  <cols>
    <col min="2" max="2" width="28.85546875" customWidth="1"/>
    <col min="6" max="6" width="32.140625" customWidth="1"/>
  </cols>
  <sheetData>
    <row r="2" spans="1:10" x14ac:dyDescent="0.25">
      <c r="A2" s="1"/>
      <c r="B2" s="1"/>
      <c r="C2" s="18"/>
      <c r="D2" s="1"/>
      <c r="E2" s="1"/>
      <c r="F2" s="1"/>
      <c r="G2" s="1"/>
      <c r="H2" s="1"/>
    </row>
    <row r="3" spans="1:10" x14ac:dyDescent="0.25">
      <c r="A3" s="1"/>
      <c r="B3" s="2"/>
      <c r="C3" s="15"/>
      <c r="D3" s="3"/>
      <c r="E3" s="4"/>
      <c r="F3" s="4"/>
      <c r="G3" s="4"/>
      <c r="H3" s="1"/>
    </row>
    <row r="4" spans="1:10" ht="21" x14ac:dyDescent="0.35">
      <c r="B4" s="35"/>
      <c r="C4" s="37" t="s">
        <v>23</v>
      </c>
      <c r="D4" s="36"/>
      <c r="E4" s="4"/>
      <c r="F4" s="4"/>
      <c r="G4" s="4"/>
      <c r="H4" s="1"/>
    </row>
    <row r="5" spans="1:10" ht="21" x14ac:dyDescent="0.35">
      <c r="B5" s="34"/>
      <c r="C5" s="38" t="s">
        <v>0</v>
      </c>
      <c r="D5" s="33"/>
      <c r="E5" s="4"/>
      <c r="F5" s="4"/>
      <c r="G5" s="4"/>
      <c r="H5" s="1"/>
    </row>
    <row r="6" spans="1:10" x14ac:dyDescent="0.25">
      <c r="A6" s="1"/>
      <c r="B6" s="5"/>
      <c r="C6" s="17"/>
      <c r="D6" s="6"/>
      <c r="E6" s="4"/>
      <c r="F6" s="4"/>
      <c r="G6" s="4"/>
      <c r="H6" s="1"/>
    </row>
    <row r="7" spans="1:10" ht="15.75" thickBot="1" x14ac:dyDescent="0.3">
      <c r="A7" s="1"/>
      <c r="B7" s="1"/>
      <c r="C7" s="18"/>
      <c r="D7" s="1"/>
      <c r="E7" s="1"/>
      <c r="F7" s="1"/>
      <c r="G7" s="1"/>
      <c r="H7" s="1"/>
    </row>
    <row r="8" spans="1:10" ht="20.25" thickTop="1" thickBot="1" x14ac:dyDescent="0.3">
      <c r="A8" s="1"/>
      <c r="B8" s="52" t="s">
        <v>9</v>
      </c>
      <c r="C8" s="53"/>
      <c r="D8" s="54"/>
      <c r="E8" s="1"/>
      <c r="F8" s="52" t="s">
        <v>11</v>
      </c>
      <c r="G8" s="53"/>
      <c r="H8" s="54"/>
      <c r="I8" s="41"/>
    </row>
    <row r="9" spans="1:10" ht="21.75" thickTop="1" x14ac:dyDescent="0.35">
      <c r="A9" s="1"/>
      <c r="B9" s="9" t="s">
        <v>1</v>
      </c>
      <c r="C9" s="11" t="s">
        <v>10</v>
      </c>
      <c r="D9" s="7"/>
      <c r="E9" s="1"/>
      <c r="F9" s="29" t="s">
        <v>18</v>
      </c>
      <c r="G9" s="23"/>
      <c r="H9" s="21"/>
      <c r="J9" s="42" t="s">
        <v>24</v>
      </c>
    </row>
    <row r="10" spans="1:10" x14ac:dyDescent="0.25">
      <c r="A10" s="1"/>
      <c r="B10" s="9" t="s">
        <v>26</v>
      </c>
      <c r="C10" s="11">
        <v>100</v>
      </c>
      <c r="D10" s="7"/>
      <c r="E10" s="1"/>
      <c r="F10" s="24" t="s">
        <v>25</v>
      </c>
      <c r="G10" s="23">
        <f>MC_spread(C10,C11,C12,13,C14,C15,C16,C20,C19)</f>
        <v>1.2905262397276807</v>
      </c>
      <c r="H10" s="21"/>
    </row>
    <row r="11" spans="1:10" x14ac:dyDescent="0.25">
      <c r="A11" s="1"/>
      <c r="B11" s="9" t="s">
        <v>27</v>
      </c>
      <c r="C11" s="11">
        <v>90</v>
      </c>
      <c r="D11" s="7"/>
      <c r="E11" s="1"/>
      <c r="F11" s="24"/>
      <c r="G11" s="23"/>
      <c r="H11" s="21"/>
    </row>
    <row r="12" spans="1:10" x14ac:dyDescent="0.25">
      <c r="A12" s="1"/>
      <c r="B12" s="9" t="s">
        <v>3</v>
      </c>
      <c r="C12" s="11">
        <v>115</v>
      </c>
      <c r="D12" s="7"/>
      <c r="E12" s="1"/>
      <c r="F12" s="24"/>
      <c r="G12" s="23"/>
      <c r="H12" s="21"/>
    </row>
    <row r="13" spans="1:10" x14ac:dyDescent="0.25">
      <c r="A13" s="1"/>
      <c r="B13" s="9" t="s">
        <v>4</v>
      </c>
      <c r="C13" s="19">
        <v>0.05</v>
      </c>
      <c r="D13" s="7"/>
      <c r="E13" s="1"/>
      <c r="F13" s="24"/>
      <c r="G13" s="26"/>
      <c r="H13" s="21"/>
    </row>
    <row r="14" spans="1:10" ht="21" x14ac:dyDescent="0.35">
      <c r="A14" s="1"/>
      <c r="B14" s="9" t="s">
        <v>28</v>
      </c>
      <c r="C14" s="19">
        <v>0.2</v>
      </c>
      <c r="D14" s="7"/>
      <c r="E14" s="1"/>
      <c r="F14" s="24"/>
      <c r="G14" s="26"/>
      <c r="H14" s="21"/>
      <c r="J14" s="42"/>
    </row>
    <row r="15" spans="1:10" ht="21" x14ac:dyDescent="0.35">
      <c r="A15" s="1"/>
      <c r="B15" s="9" t="s">
        <v>29</v>
      </c>
      <c r="C15" s="19">
        <v>0.25</v>
      </c>
      <c r="D15" s="7"/>
      <c r="E15" s="1"/>
      <c r="F15" s="24"/>
      <c r="G15" s="26"/>
      <c r="H15" s="21"/>
      <c r="J15" s="42"/>
    </row>
    <row r="16" spans="1:10" x14ac:dyDescent="0.25">
      <c r="A16" s="1"/>
      <c r="B16" s="9" t="s">
        <v>6</v>
      </c>
      <c r="C16" s="11">
        <v>1</v>
      </c>
      <c r="D16" s="7"/>
      <c r="E16" s="1"/>
      <c r="F16" s="24"/>
      <c r="G16" s="26"/>
      <c r="H16" s="21"/>
    </row>
    <row r="17" spans="1:8" x14ac:dyDescent="0.25">
      <c r="A17" s="1"/>
      <c r="B17" s="9" t="s">
        <v>7</v>
      </c>
      <c r="C17" s="19">
        <v>0</v>
      </c>
      <c r="D17" s="7"/>
      <c r="E17" s="1"/>
      <c r="F17" s="24"/>
      <c r="G17" s="27"/>
      <c r="H17" s="21"/>
    </row>
    <row r="18" spans="1:8" x14ac:dyDescent="0.25">
      <c r="A18" s="1"/>
      <c r="B18" s="9" t="s">
        <v>14</v>
      </c>
      <c r="C18" s="19">
        <v>0.05</v>
      </c>
      <c r="D18" s="7"/>
      <c r="E18" s="1"/>
      <c r="F18" s="30"/>
      <c r="G18" s="31"/>
      <c r="H18" s="32"/>
    </row>
    <row r="19" spans="1:8" x14ac:dyDescent="0.25">
      <c r="A19" s="1"/>
      <c r="B19" s="39" t="s">
        <v>30</v>
      </c>
      <c r="C19" s="40">
        <v>0.5</v>
      </c>
      <c r="D19" s="7"/>
      <c r="E19" s="1"/>
      <c r="F19" s="30"/>
      <c r="G19" s="31"/>
      <c r="H19" s="32"/>
    </row>
    <row r="20" spans="1:8" ht="15.75" thickBot="1" x14ac:dyDescent="0.3">
      <c r="A20" s="1"/>
      <c r="B20" s="9" t="s">
        <v>16</v>
      </c>
      <c r="C20" s="11">
        <v>500</v>
      </c>
      <c r="D20" s="7"/>
      <c r="E20" s="1"/>
      <c r="F20" s="25"/>
      <c r="G20" s="28"/>
      <c r="H20" s="22"/>
    </row>
    <row r="21" spans="1:8" ht="16.5" thickTop="1" thickBot="1" x14ac:dyDescent="0.3">
      <c r="A21" s="1"/>
      <c r="B21" s="10"/>
      <c r="C21" s="20"/>
      <c r="D21" s="8"/>
      <c r="E21" s="1"/>
      <c r="F21" s="1"/>
      <c r="G21" s="1"/>
      <c r="H21" s="1"/>
    </row>
    <row r="22" spans="1:8" ht="15.75" thickTop="1" x14ac:dyDescent="0.25">
      <c r="A22" s="1"/>
      <c r="E22" s="1"/>
      <c r="F22" s="1"/>
      <c r="G22" s="1"/>
      <c r="H22" s="1"/>
    </row>
  </sheetData>
  <mergeCells count="2">
    <mergeCell ref="B8:D8"/>
    <mergeCell ref="F8:H8"/>
  </mergeCells>
  <dataValidations count="1">
    <dataValidation type="list" allowBlank="1" showInputMessage="1" showErrorMessage="1" sqref="C9">
      <formula1>"Call,Put"</formula1>
    </dataValidation>
  </dataValidation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Equation.3" shapeId="3082" r:id="rId4">
          <objectPr defaultSize="0" autoPict="0" r:id="rId5">
            <anchor moveWithCells="1" sizeWithCells="1">
              <from>
                <xdr:col>8</xdr:col>
                <xdr:colOff>714375</xdr:colOff>
                <xdr:row>10</xdr:row>
                <xdr:rowOff>28575</xdr:rowOff>
              </from>
              <to>
                <xdr:col>14</xdr:col>
                <xdr:colOff>152400</xdr:colOff>
                <xdr:row>12</xdr:row>
                <xdr:rowOff>9525</xdr:rowOff>
              </to>
            </anchor>
          </objectPr>
        </oleObject>
      </mc:Choice>
      <mc:Fallback>
        <oleObject progId="Equation.3" shapeId="3082" r:id="rId4"/>
      </mc:Fallback>
    </mc:AlternateContent>
  </oleObjec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18</vt:i4>
      </vt:variant>
    </vt:vector>
  </HeadingPairs>
  <TitlesOfParts>
    <vt:vector size="21" baseType="lpstr">
      <vt:lpstr>European_Option</vt:lpstr>
      <vt:lpstr>Average_Option</vt:lpstr>
      <vt:lpstr>Spread_Option</vt:lpstr>
      <vt:lpstr>Cost_and_curry</vt:lpstr>
      <vt:lpstr>CostAndCurry</vt:lpstr>
      <vt:lpstr>Delta</vt:lpstr>
      <vt:lpstr>Dividend</vt:lpstr>
      <vt:lpstr>Dt</vt:lpstr>
      <vt:lpstr>ExercisePrice</vt:lpstr>
      <vt:lpstr>Gamma</vt:lpstr>
      <vt:lpstr>Number_of_simulations_NbTraj</vt:lpstr>
      <vt:lpstr>NumberOfSimulations</vt:lpstr>
      <vt:lpstr>OptionPrice</vt:lpstr>
      <vt:lpstr>OptionType</vt:lpstr>
      <vt:lpstr>Rho</vt:lpstr>
      <vt:lpstr>RiskFreeRate</vt:lpstr>
      <vt:lpstr>StockPrice</vt:lpstr>
      <vt:lpstr>Theta</vt:lpstr>
      <vt:lpstr>TimeToMaturity</vt:lpstr>
      <vt:lpstr>Vega</vt:lpstr>
      <vt:lpstr>Volatility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Soddy</dc:creator>
  <cp:lastModifiedBy>Waliid Bourhim</cp:lastModifiedBy>
  <dcterms:created xsi:type="dcterms:W3CDTF">2012-09-08T17:05:17Z</dcterms:created>
  <dcterms:modified xsi:type="dcterms:W3CDTF">2020-10-27T16:51:36Z</dcterms:modified>
</cp:coreProperties>
</file>